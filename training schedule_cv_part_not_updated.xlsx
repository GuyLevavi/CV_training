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yle\Documents\Projects\CV_training\"/>
    </mc:Choice>
  </mc:AlternateContent>
  <xr:revisionPtr revIDLastSave="0" documentId="13_ncr:1_{18E02F95-4F58-477B-9B9C-06154483A278}" xr6:coauthVersionLast="47" xr6:coauthVersionMax="47" xr10:uidLastSave="{00000000-0000-0000-0000-000000000000}"/>
  <bookViews>
    <workbookView xWindow="1125" yWindow="1125" windowWidth="21600" windowHeight="111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/>
  <c r="C2" i="1" l="1"/>
  <c r="C21" i="1"/>
  <c r="C20" i="1" s="1"/>
  <c r="C33" i="1"/>
  <c r="C40" i="1"/>
  <c r="C32" i="1" s="1"/>
  <c r="B33" i="1"/>
  <c r="B32" i="1" s="1"/>
  <c r="B21" i="1"/>
  <c r="B20" i="1" s="1"/>
  <c r="B46" i="1"/>
  <c r="B2" i="1"/>
  <c r="C10" i="1"/>
  <c r="B10" i="1"/>
</calcChain>
</file>

<file path=xl/sharedStrings.xml><?xml version="1.0" encoding="utf-8"?>
<sst xmlns="http://schemas.openxmlformats.org/spreadsheetml/2006/main" count="110" uniqueCount="80">
  <si>
    <t>Supervisor</t>
  </si>
  <si>
    <t>Devops</t>
  </si>
  <si>
    <t>Git</t>
  </si>
  <si>
    <t>Python</t>
  </si>
  <si>
    <t>NumPy</t>
  </si>
  <si>
    <t>OOP &amp; clean code</t>
  </si>
  <si>
    <t>Itay</t>
  </si>
  <si>
    <t>Pandas</t>
  </si>
  <si>
    <t>Yaniv</t>
  </si>
  <si>
    <t>Dava visualization</t>
  </si>
  <si>
    <t>Final exercise</t>
  </si>
  <si>
    <t>David</t>
  </si>
  <si>
    <t>assignment1</t>
  </si>
  <si>
    <t>assignment2</t>
  </si>
  <si>
    <t>assignment3</t>
  </si>
  <si>
    <t>assignment4</t>
  </si>
  <si>
    <t>assignment5</t>
  </si>
  <si>
    <t>assignment6</t>
  </si>
  <si>
    <t>RCNN</t>
  </si>
  <si>
    <t>Fast RCNN</t>
  </si>
  <si>
    <t>Faster rcnn</t>
  </si>
  <si>
    <t>Yoni</t>
  </si>
  <si>
    <t>Hadar</t>
  </si>
  <si>
    <t>Hadar and Yaniv</t>
  </si>
  <si>
    <t>Yoni and David</t>
  </si>
  <si>
    <t>Actual Time</t>
  </si>
  <si>
    <t>Estimated Time</t>
  </si>
  <si>
    <t xml:space="preserve">Exercise </t>
  </si>
  <si>
    <t>Computer Vision</t>
  </si>
  <si>
    <t>Deep Learning</t>
  </si>
  <si>
    <t>Course</t>
  </si>
  <si>
    <t>Articles</t>
  </si>
  <si>
    <t>Final Project</t>
  </si>
  <si>
    <t>Basics</t>
  </si>
  <si>
    <t>Data Science and Machine Learning</t>
  </si>
  <si>
    <t>SVM</t>
  </si>
  <si>
    <t>Clustering</t>
  </si>
  <si>
    <t>Dimentionality Reduction</t>
  </si>
  <si>
    <t>Classification</t>
  </si>
  <si>
    <t>Linear Regression</t>
  </si>
  <si>
    <t>Metrics</t>
  </si>
  <si>
    <t>DS Intro</t>
  </si>
  <si>
    <t>Statistics</t>
  </si>
  <si>
    <t>CV Programming Basics</t>
  </si>
  <si>
    <t xml:space="preserve">Final Exercise </t>
  </si>
  <si>
    <t>Unit 1 - Images as Functions</t>
  </si>
  <si>
    <t>Unit 2 - Edges and Lines</t>
  </si>
  <si>
    <t>Unit 3 - Epipolar Geometry</t>
  </si>
  <si>
    <t>Unit 4 - Matching</t>
  </si>
  <si>
    <t>Unit 6 - Optical Flow</t>
  </si>
  <si>
    <t>Unit 7 - Particle Filtering</t>
  </si>
  <si>
    <t>Unit 9 - Morpholy</t>
  </si>
  <si>
    <t>Linux</t>
  </si>
  <si>
    <t>?</t>
  </si>
  <si>
    <t>Docker</t>
  </si>
  <si>
    <t>Skimmed briefly, quite familiar</t>
  </si>
  <si>
    <t>Dates</t>
  </si>
  <si>
    <t>Comments</t>
  </si>
  <si>
    <t>Skipped</t>
  </si>
  <si>
    <t>Knowledge Before</t>
  </si>
  <si>
    <t>Usefulness</t>
  </si>
  <si>
    <t>Organization</t>
  </si>
  <si>
    <t>4.5-5.5</t>
  </si>
  <si>
    <t>-</t>
  </si>
  <si>
    <t>Graph exercise is great but does not look into the content of the commits which can be helpful</t>
  </si>
  <si>
    <t>IMO can replace the pandas exercises, much more practical and concrete and made me look for various pandas tricks</t>
  </si>
  <si>
    <t>5.5-6.5,12.5</t>
  </si>
  <si>
    <t>7.5-12.5</t>
  </si>
  <si>
    <t>6.5-12.5</t>
  </si>
  <si>
    <t>13.5-18.5</t>
  </si>
  <si>
    <t>IMO the overlap with titanic is ok, if no visualization is required here</t>
  </si>
  <si>
    <t>18.5-19.5</t>
  </si>
  <si>
    <t>18.5-22.5</t>
  </si>
  <si>
    <t>21.5-26.5</t>
  </si>
  <si>
    <t>2.5?</t>
  </si>
  <si>
    <t>27.5-29.5?</t>
  </si>
  <si>
    <t>28.5-4.6?</t>
  </si>
  <si>
    <t>29-4.6?</t>
  </si>
  <si>
    <t>10.6-16.6</t>
  </si>
  <si>
    <t>17.6-?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</si>
</sst>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1" fillId="0" borderId="0"/>
    <xf numFmtId="0" fontId="5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34">
    <xf numFmtId="0" fontId="0" fillId="0" borderId="0" xfId="0"/>
    <xf numFmtId="0" fontId="1" fillId="0" borderId="0" xfId="1" applyAlignment="1">
      <alignment horizontal="center"/>
    </xf>
    <xf numFmtId="0" fontId="0" fillId="0" borderId="0" xfId="0" applyAlignment="1">
      <alignment horizontal="center"/>
    </xf>
    <xf numFmtId="0" fontId="2" fillId="3" borderId="1" xfId="3" applyBorder="1"/>
    <xf numFmtId="0" fontId="2" fillId="3" borderId="1" xfId="3" applyBorder="1" applyAlignment="1">
      <alignment horizontal="center"/>
    </xf>
    <xf numFmtId="0" fontId="2" fillId="4" borderId="1" xfId="4" applyBorder="1"/>
    <xf numFmtId="0" fontId="2" fillId="4" borderId="1" xfId="4" applyBorder="1" applyAlignment="1">
      <alignment horizontal="center"/>
    </xf>
    <xf numFmtId="0" fontId="2" fillId="3" borderId="2" xfId="3" applyBorder="1"/>
    <xf numFmtId="0" fontId="2" fillId="3" borderId="2" xfId="3" applyBorder="1" applyAlignment="1">
      <alignment horizontal="center"/>
    </xf>
    <xf numFmtId="0" fontId="2" fillId="3" borderId="4" xfId="3" applyBorder="1"/>
    <xf numFmtId="0" fontId="2" fillId="3" borderId="5" xfId="3" applyBorder="1" applyAlignment="1">
      <alignment horizontal="center"/>
    </xf>
    <xf numFmtId="0" fontId="2" fillId="4" borderId="3" xfId="4" applyBorder="1"/>
    <xf numFmtId="0" fontId="2" fillId="4" borderId="3" xfId="4" applyBorder="1" applyAlignment="1">
      <alignment horizontal="center"/>
    </xf>
    <xf numFmtId="0" fontId="2" fillId="4" borderId="2" xfId="4" applyBorder="1"/>
    <xf numFmtId="0" fontId="2" fillId="4" borderId="2" xfId="4" applyBorder="1" applyAlignment="1">
      <alignment horizontal="center"/>
    </xf>
    <xf numFmtId="0" fontId="4" fillId="5" borderId="3" xfId="5" applyFont="1" applyBorder="1"/>
    <xf numFmtId="0" fontId="4" fillId="5" borderId="3" xfId="5" applyFont="1" applyBorder="1" applyAlignment="1">
      <alignment horizontal="center"/>
    </xf>
    <xf numFmtId="0" fontId="4" fillId="0" borderId="0" xfId="0" applyFont="1"/>
    <xf numFmtId="0" fontId="4" fillId="5" borderId="3" xfId="5" applyFont="1" applyBorder="1" applyAlignment="1">
      <alignment wrapText="1"/>
    </xf>
    <xf numFmtId="0" fontId="4" fillId="5" borderId="1" xfId="5" applyFont="1" applyBorder="1"/>
    <xf numFmtId="0" fontId="4" fillId="5" borderId="1" xfId="5" applyFont="1" applyBorder="1" applyAlignment="1">
      <alignment horizontal="center"/>
    </xf>
    <xf numFmtId="0" fontId="2" fillId="3" borderId="6" xfId="3" applyBorder="1" applyAlignment="1">
      <alignment horizontal="center"/>
    </xf>
    <xf numFmtId="0" fontId="3" fillId="2" borderId="1" xfId="2" applyFont="1" applyBorder="1"/>
    <xf numFmtId="0" fontId="3" fillId="2" borderId="1" xfId="2" applyFont="1" applyBorder="1" applyAlignment="1">
      <alignment horizontal="center"/>
    </xf>
    <xf numFmtId="0" fontId="2" fillId="0" borderId="0" xfId="1" applyFont="1"/>
    <xf numFmtId="0" fontId="0" fillId="4" borderId="3" xfId="4" applyFont="1" applyBorder="1"/>
    <xf numFmtId="0" fontId="0" fillId="4" borderId="3" xfId="4" applyFont="1" applyBorder="1" applyAlignment="1">
      <alignment horizontal="center"/>
    </xf>
    <xf numFmtId="0" fontId="3" fillId="2" borderId="7" xfId="2" applyFont="1" applyBorder="1" applyAlignment="1">
      <alignment horizontal="center"/>
    </xf>
    <xf numFmtId="0" fontId="0" fillId="0" borderId="0" xfId="1" applyFont="1"/>
    <xf numFmtId="0" fontId="4" fillId="0" borderId="0" xfId="0" applyFont="1" applyAlignment="1">
      <alignment horizontal="center"/>
    </xf>
    <xf numFmtId="0" fontId="2" fillId="3" borderId="1" xfId="3" applyBorder="1" applyAlignment="1">
      <alignment horizontal="left"/>
    </xf>
    <xf numFmtId="0" fontId="0" fillId="3" borderId="1" xfId="3" applyFont="1" applyBorder="1" applyAlignment="1">
      <alignment horizont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6">
    <cellStyle name="20% - Accent1" xfId="3" builtinId="30"/>
    <cellStyle name="40% - Accent1" xfId="4" builtinId="31"/>
    <cellStyle name="60% - Accent1" xfId="5" builtinId="32"/>
    <cellStyle name="Accent1" xfId="2" builtinId="29"/>
    <cellStyle name="Normal" xfId="0" builtinId="0"/>
    <cellStyle name="Normal 2" xfId="1" xr:uid="{00000000-0005-0000-0000-000004000000}"/>
  </cellStyles>
  <dxfs count="13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  <dxf>
      <fill>
        <gradientFill>
          <stop position="0">
            <color rgb="FF33CCCC"/>
          </stop>
          <stop position="1">
            <color theme="9" tint="0.40000610370189521"/>
          </stop>
        </gradient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33CCCC"/>
        </patternFill>
      </fill>
    </dxf>
    <dxf>
      <fill>
        <patternFill>
          <bgColor rgb="FFFF99FF"/>
        </patternFill>
      </fill>
    </dxf>
    <dxf>
      <fill>
        <gradientFill>
          <stop position="0">
            <color rgb="FFFF66CC"/>
          </stop>
          <stop position="1">
            <color theme="5" tint="0.40000610370189521"/>
          </stop>
        </gradientFill>
      </fill>
    </dxf>
  </dxfs>
  <tableStyles count="0" defaultTableStyle="TableStyleMedium2" defaultPivotStyle="PivotStyleLight16"/>
  <colors>
    <mruColors>
      <color rgb="FFFF99FF"/>
      <color rgb="FFFF66CC"/>
      <color rgb="FF9966FF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zoomScale="115" zoomScaleNormal="115" workbookViewId="0">
      <pane ySplit="1" topLeftCell="A24" activePane="bottomLeft" state="frozen"/>
      <selection activeCell="C1" sqref="C1"/>
      <selection pane="bottomLeft" activeCell="F33" sqref="F33"/>
    </sheetView>
  </sheetViews>
  <sheetFormatPr defaultRowHeight="15" x14ac:dyDescent="0.25"/>
  <cols>
    <col min="1" max="1" width="24.85546875" bestFit="1" customWidth="1"/>
    <col min="2" max="2" width="14.28515625" style="2" bestFit="1" customWidth="1"/>
    <col min="3" max="3" width="11" style="2" bestFit="1" customWidth="1"/>
    <col min="4" max="4" width="14.42578125" style="2" bestFit="1" customWidth="1"/>
    <col min="5" max="5" width="11.85546875" style="2" customWidth="1"/>
    <col min="6" max="6" width="17.42578125" style="2" customWidth="1"/>
    <col min="7" max="7" width="13.42578125" style="2" customWidth="1"/>
    <col min="8" max="8" width="12.28515625" style="2" customWidth="1"/>
    <col min="9" max="9" width="25.42578125" customWidth="1"/>
  </cols>
  <sheetData>
    <row r="1" spans="1:9" x14ac:dyDescent="0.25">
      <c r="A1" s="22" t="s">
        <v>27</v>
      </c>
      <c r="B1" s="23" t="s">
        <v>26</v>
      </c>
      <c r="C1" s="23" t="s">
        <v>25</v>
      </c>
      <c r="D1" s="23" t="s">
        <v>0</v>
      </c>
      <c r="E1" s="27" t="s">
        <v>56</v>
      </c>
      <c r="F1" s="27" t="s">
        <v>59</v>
      </c>
      <c r="G1" s="27" t="s">
        <v>60</v>
      </c>
      <c r="H1" s="27" t="s">
        <v>61</v>
      </c>
      <c r="I1" s="27" t="s">
        <v>57</v>
      </c>
    </row>
    <row r="2" spans="1:9" s="17" customFormat="1" x14ac:dyDescent="0.25">
      <c r="A2" s="19" t="s">
        <v>3</v>
      </c>
      <c r="B2" s="20">
        <f>SUM(B3:B8)</f>
        <v>16.5</v>
      </c>
      <c r="C2" s="20">
        <f>SUM(C3:C8)</f>
        <v>10</v>
      </c>
      <c r="D2" s="20"/>
      <c r="E2" s="20"/>
      <c r="F2" s="20"/>
      <c r="G2" s="20"/>
      <c r="H2" s="20"/>
      <c r="I2" s="20"/>
    </row>
    <row r="3" spans="1:9" x14ac:dyDescent="0.25">
      <c r="A3" s="3" t="s">
        <v>33</v>
      </c>
      <c r="B3" s="4">
        <v>0.5</v>
      </c>
      <c r="C3" s="4">
        <v>0</v>
      </c>
      <c r="D3" s="4"/>
      <c r="E3" s="2" t="s">
        <v>63</v>
      </c>
      <c r="F3" s="1">
        <v>4</v>
      </c>
      <c r="G3" s="2" t="s">
        <v>63</v>
      </c>
      <c r="H3" s="2" t="s">
        <v>63</v>
      </c>
      <c r="I3" s="28" t="s">
        <v>58</v>
      </c>
    </row>
    <row r="4" spans="1:9" x14ac:dyDescent="0.25">
      <c r="A4" s="3" t="s">
        <v>4</v>
      </c>
      <c r="B4" s="4">
        <v>1</v>
      </c>
      <c r="C4" s="4">
        <v>1</v>
      </c>
      <c r="D4" s="4"/>
      <c r="E4" s="2" t="s">
        <v>66</v>
      </c>
      <c r="F4" s="1">
        <v>4</v>
      </c>
      <c r="G4" s="2">
        <v>3</v>
      </c>
      <c r="H4" s="2">
        <v>4</v>
      </c>
      <c r="I4" s="24"/>
    </row>
    <row r="5" spans="1:9" x14ac:dyDescent="0.25">
      <c r="A5" s="3" t="s">
        <v>5</v>
      </c>
      <c r="B5" s="4">
        <v>6</v>
      </c>
      <c r="C5" s="4">
        <v>1.5</v>
      </c>
      <c r="D5" s="4" t="s">
        <v>6</v>
      </c>
      <c r="E5" s="2" t="s">
        <v>67</v>
      </c>
      <c r="F5" s="2">
        <v>2</v>
      </c>
      <c r="G5" s="2">
        <v>2</v>
      </c>
      <c r="H5" s="2">
        <v>2</v>
      </c>
      <c r="I5" s="24"/>
    </row>
    <row r="6" spans="1:9" x14ac:dyDescent="0.25">
      <c r="A6" s="3" t="s">
        <v>7</v>
      </c>
      <c r="B6" s="4">
        <v>1</v>
      </c>
      <c r="C6" s="4">
        <v>0.5</v>
      </c>
      <c r="D6" s="4" t="s">
        <v>8</v>
      </c>
      <c r="E6" s="2">
        <v>6.5</v>
      </c>
      <c r="F6" s="2">
        <v>4</v>
      </c>
      <c r="G6" s="2">
        <v>2</v>
      </c>
      <c r="H6" s="2">
        <v>2</v>
      </c>
    </row>
    <row r="7" spans="1:9" x14ac:dyDescent="0.25">
      <c r="A7" s="3" t="s">
        <v>9</v>
      </c>
      <c r="B7" s="4">
        <v>3</v>
      </c>
      <c r="C7" s="4">
        <v>3.5</v>
      </c>
      <c r="D7" s="4" t="s">
        <v>8</v>
      </c>
      <c r="E7" s="2" t="s">
        <v>68</v>
      </c>
      <c r="F7" s="2">
        <v>3</v>
      </c>
      <c r="G7" s="2">
        <v>5</v>
      </c>
      <c r="H7" s="2">
        <v>4</v>
      </c>
      <c r="I7" t="s">
        <v>65</v>
      </c>
    </row>
    <row r="8" spans="1:9" x14ac:dyDescent="0.25">
      <c r="A8" s="7" t="s">
        <v>10</v>
      </c>
      <c r="B8" s="8">
        <v>5</v>
      </c>
      <c r="C8" s="8">
        <v>3.5</v>
      </c>
      <c r="D8" s="8" t="s">
        <v>11</v>
      </c>
      <c r="E8" s="2" t="s">
        <v>69</v>
      </c>
      <c r="F8" s="2">
        <v>2</v>
      </c>
      <c r="G8" s="2">
        <v>4</v>
      </c>
      <c r="H8" s="2">
        <v>4</v>
      </c>
      <c r="I8" t="s">
        <v>70</v>
      </c>
    </row>
    <row r="9" spans="1:9" x14ac:dyDescent="0.25">
      <c r="A9" s="9"/>
      <c r="B9" s="10"/>
      <c r="C9" s="10"/>
      <c r="D9" s="21"/>
    </row>
    <row r="10" spans="1:9" s="17" customFormat="1" ht="28.7" customHeight="1" x14ac:dyDescent="0.25">
      <c r="A10" s="18" t="s">
        <v>34</v>
      </c>
      <c r="B10" s="16">
        <f>SUM(B11:B18)</f>
        <v>11.5</v>
      </c>
      <c r="C10" s="16">
        <f>SUM(C11:C18)</f>
        <v>0</v>
      </c>
      <c r="D10" s="16"/>
      <c r="E10" s="32" t="s">
        <v>58</v>
      </c>
      <c r="F10" s="33"/>
      <c r="G10" s="33"/>
      <c r="H10" s="33"/>
      <c r="I10" s="33"/>
    </row>
    <row r="11" spans="1:9" x14ac:dyDescent="0.25">
      <c r="A11" s="3" t="s">
        <v>42</v>
      </c>
      <c r="B11" s="4">
        <v>0.5</v>
      </c>
      <c r="C11" s="4"/>
      <c r="D11" s="4" t="s">
        <v>21</v>
      </c>
      <c r="E11" s="32"/>
      <c r="F11" s="33"/>
      <c r="G11" s="33"/>
      <c r="H11" s="33"/>
      <c r="I11" s="33"/>
    </row>
    <row r="12" spans="1:9" x14ac:dyDescent="0.25">
      <c r="A12" s="3" t="s">
        <v>41</v>
      </c>
      <c r="B12" s="4">
        <v>0.5</v>
      </c>
      <c r="C12" s="4"/>
      <c r="D12" s="4" t="s">
        <v>22</v>
      </c>
      <c r="E12" s="32"/>
      <c r="F12" s="33"/>
      <c r="G12" s="33"/>
      <c r="H12" s="33"/>
      <c r="I12" s="33"/>
    </row>
    <row r="13" spans="1:9" x14ac:dyDescent="0.25">
      <c r="A13" s="3" t="s">
        <v>40</v>
      </c>
      <c r="B13" s="4">
        <v>1</v>
      </c>
      <c r="C13" s="4"/>
      <c r="D13" s="4" t="s">
        <v>21</v>
      </c>
      <c r="E13" s="32"/>
      <c r="F13" s="33"/>
      <c r="G13" s="33"/>
      <c r="H13" s="33"/>
      <c r="I13" s="33"/>
    </row>
    <row r="14" spans="1:9" x14ac:dyDescent="0.25">
      <c r="A14" s="3" t="s">
        <v>39</v>
      </c>
      <c r="B14" s="4">
        <v>1.5</v>
      </c>
      <c r="C14" s="4"/>
      <c r="D14" s="4" t="s">
        <v>6</v>
      </c>
      <c r="E14" s="32"/>
      <c r="F14" s="33"/>
      <c r="G14" s="33"/>
      <c r="H14" s="33"/>
      <c r="I14" s="33"/>
    </row>
    <row r="15" spans="1:9" x14ac:dyDescent="0.25">
      <c r="A15" s="3" t="s">
        <v>38</v>
      </c>
      <c r="B15" s="4">
        <v>1.5</v>
      </c>
      <c r="C15" s="4"/>
      <c r="D15" s="4" t="s">
        <v>11</v>
      </c>
      <c r="E15" s="32"/>
      <c r="F15" s="33"/>
      <c r="G15" s="33"/>
      <c r="H15" s="33"/>
      <c r="I15" s="33"/>
    </row>
    <row r="16" spans="1:9" x14ac:dyDescent="0.25">
      <c r="A16" s="3" t="s">
        <v>37</v>
      </c>
      <c r="B16" s="4">
        <v>3</v>
      </c>
      <c r="C16" s="4"/>
      <c r="D16" s="4" t="s">
        <v>8</v>
      </c>
      <c r="E16" s="32"/>
      <c r="F16" s="33"/>
      <c r="G16" s="33"/>
      <c r="H16" s="33"/>
      <c r="I16" s="33"/>
    </row>
    <row r="17" spans="1:9" x14ac:dyDescent="0.25">
      <c r="A17" s="3" t="s">
        <v>36</v>
      </c>
      <c r="B17" s="4">
        <v>2</v>
      </c>
      <c r="C17" s="4"/>
      <c r="D17" s="4" t="s">
        <v>21</v>
      </c>
      <c r="E17" s="32"/>
      <c r="F17" s="33"/>
      <c r="G17" s="33"/>
      <c r="H17" s="33"/>
      <c r="I17" s="33"/>
    </row>
    <row r="18" spans="1:9" x14ac:dyDescent="0.25">
      <c r="A18" s="7" t="s">
        <v>35</v>
      </c>
      <c r="B18" s="8">
        <v>1.5</v>
      </c>
      <c r="C18" s="8"/>
      <c r="D18" s="8" t="s">
        <v>22</v>
      </c>
      <c r="E18" s="32"/>
      <c r="F18" s="33"/>
      <c r="G18" s="33"/>
      <c r="H18" s="33"/>
      <c r="I18" s="33"/>
    </row>
    <row r="19" spans="1:9" x14ac:dyDescent="0.25">
      <c r="A19" s="9"/>
      <c r="B19" s="10"/>
      <c r="C19" s="10"/>
      <c r="D19" s="21"/>
    </row>
    <row r="20" spans="1:9" s="17" customFormat="1" x14ac:dyDescent="0.25">
      <c r="A20" s="15" t="s">
        <v>28</v>
      </c>
      <c r="B20" s="16">
        <f>SUM(B21,B29,B30)</f>
        <v>23.5</v>
      </c>
      <c r="C20" s="16">
        <f>SUM(C21,C29,C30)</f>
        <v>6.5</v>
      </c>
      <c r="D20" s="16"/>
      <c r="E20" s="2"/>
      <c r="F20" s="29"/>
      <c r="G20" s="29"/>
      <c r="H20" s="29"/>
    </row>
    <row r="21" spans="1:9" x14ac:dyDescent="0.25">
      <c r="A21" s="5" t="s">
        <v>30</v>
      </c>
      <c r="B21" s="6">
        <f>SUM(B22:B28)</f>
        <v>18</v>
      </c>
      <c r="C21" s="6">
        <f>SUM(C22:C28)</f>
        <v>6.5</v>
      </c>
      <c r="D21" s="6"/>
    </row>
    <row r="22" spans="1:9" x14ac:dyDescent="0.25">
      <c r="A22" s="3" t="s">
        <v>45</v>
      </c>
      <c r="B22" s="4">
        <v>1</v>
      </c>
      <c r="C22" s="4">
        <v>0.5</v>
      </c>
      <c r="D22" s="4" t="s">
        <v>21</v>
      </c>
      <c r="E22" s="2" t="s">
        <v>71</v>
      </c>
      <c r="F22" s="2">
        <v>4</v>
      </c>
      <c r="G22" s="2">
        <v>4</v>
      </c>
      <c r="H22" s="2">
        <v>4</v>
      </c>
    </row>
    <row r="23" spans="1:9" x14ac:dyDescent="0.25">
      <c r="A23" s="3" t="s">
        <v>46</v>
      </c>
      <c r="B23" s="4">
        <v>2.5</v>
      </c>
      <c r="C23" s="4">
        <v>3</v>
      </c>
      <c r="D23" s="4" t="s">
        <v>21</v>
      </c>
      <c r="E23" s="2" t="s">
        <v>72</v>
      </c>
      <c r="F23" s="2">
        <v>3</v>
      </c>
      <c r="G23" s="2">
        <v>4</v>
      </c>
      <c r="H23" s="2">
        <v>4</v>
      </c>
    </row>
    <row r="24" spans="1:9" x14ac:dyDescent="0.25">
      <c r="A24" s="3" t="s">
        <v>47</v>
      </c>
      <c r="B24" s="4">
        <v>2.5</v>
      </c>
      <c r="C24" s="4">
        <v>3</v>
      </c>
      <c r="D24" s="4" t="s">
        <v>22</v>
      </c>
      <c r="E24" s="2" t="s">
        <v>73</v>
      </c>
      <c r="F24" s="2">
        <v>4</v>
      </c>
      <c r="G24" s="2">
        <v>5</v>
      </c>
      <c r="H24" s="2">
        <v>4</v>
      </c>
    </row>
    <row r="25" spans="1:9" x14ac:dyDescent="0.25">
      <c r="A25" s="3" t="s">
        <v>48</v>
      </c>
      <c r="B25" s="4">
        <v>4</v>
      </c>
      <c r="C25" s="31" t="s">
        <v>74</v>
      </c>
      <c r="D25" s="4" t="s">
        <v>8</v>
      </c>
      <c r="E25" s="2" t="s">
        <v>75</v>
      </c>
      <c r="F25" s="2">
        <v>4</v>
      </c>
      <c r="G25" s="2">
        <v>4</v>
      </c>
      <c r="H25" s="2">
        <v>4</v>
      </c>
    </row>
    <row r="26" spans="1:9" x14ac:dyDescent="0.25">
      <c r="A26" s="30" t="s">
        <v>49</v>
      </c>
      <c r="B26" s="4">
        <v>4</v>
      </c>
      <c r="C26" s="4"/>
      <c r="D26" s="4" t="s">
        <v>11</v>
      </c>
      <c r="E26" s="2" t="s">
        <v>76</v>
      </c>
      <c r="F26" s="2">
        <v>2</v>
      </c>
      <c r="G26" s="2">
        <v>4</v>
      </c>
      <c r="H26" s="2">
        <v>3</v>
      </c>
    </row>
    <row r="27" spans="1:9" x14ac:dyDescent="0.25">
      <c r="A27" s="3" t="s">
        <v>50</v>
      </c>
      <c r="B27" s="4">
        <v>3.5</v>
      </c>
      <c r="C27" s="4"/>
      <c r="D27" s="4" t="s">
        <v>6</v>
      </c>
      <c r="E27" s="2" t="s">
        <v>77</v>
      </c>
      <c r="F27" s="2">
        <v>1</v>
      </c>
      <c r="G27" s="2">
        <v>5</v>
      </c>
      <c r="H27" s="2">
        <v>3</v>
      </c>
    </row>
    <row r="28" spans="1:9" x14ac:dyDescent="0.25">
      <c r="A28" s="3" t="s">
        <v>51</v>
      </c>
      <c r="B28" s="4">
        <v>0.5</v>
      </c>
      <c r="C28" s="4"/>
      <c r="D28" s="4" t="s">
        <v>6</v>
      </c>
    </row>
    <row r="29" spans="1:9" x14ac:dyDescent="0.25">
      <c r="A29" s="5" t="s">
        <v>43</v>
      </c>
      <c r="B29" s="6">
        <v>0.5</v>
      </c>
      <c r="C29" s="6"/>
      <c r="D29" s="6" t="s">
        <v>22</v>
      </c>
    </row>
    <row r="30" spans="1:9" x14ac:dyDescent="0.25">
      <c r="A30" s="13" t="s">
        <v>44</v>
      </c>
      <c r="B30" s="14">
        <v>5</v>
      </c>
      <c r="C30" s="14"/>
      <c r="D30" s="14" t="s">
        <v>11</v>
      </c>
    </row>
    <row r="31" spans="1:9" x14ac:dyDescent="0.25">
      <c r="A31" s="9"/>
      <c r="B31" s="10"/>
      <c r="C31" s="10"/>
      <c r="D31" s="21"/>
    </row>
    <row r="32" spans="1:9" x14ac:dyDescent="0.25">
      <c r="A32" s="15" t="s">
        <v>29</v>
      </c>
      <c r="B32" s="16">
        <f>SUM(B33,B40,B44)</f>
        <v>28.5</v>
      </c>
      <c r="C32" s="16">
        <f>SUM(C33,C40,C44)</f>
        <v>2</v>
      </c>
      <c r="D32" s="16"/>
    </row>
    <row r="33" spans="1:9" x14ac:dyDescent="0.25">
      <c r="A33" s="5" t="s">
        <v>30</v>
      </c>
      <c r="B33" s="6">
        <f>SUM(B34:B39)</f>
        <v>17.5</v>
      </c>
      <c r="C33" s="6">
        <f>SUM(C34:C39)</f>
        <v>2</v>
      </c>
      <c r="D33" s="6"/>
    </row>
    <row r="34" spans="1:9" x14ac:dyDescent="0.25">
      <c r="A34" s="3" t="s">
        <v>12</v>
      </c>
      <c r="B34" s="4">
        <v>0.5</v>
      </c>
      <c r="C34" s="4"/>
      <c r="D34" s="4" t="s">
        <v>21</v>
      </c>
    </row>
    <row r="35" spans="1:9" x14ac:dyDescent="0.25">
      <c r="A35" s="3" t="s">
        <v>13</v>
      </c>
      <c r="B35" s="4">
        <v>2.5</v>
      </c>
      <c r="C35" s="4">
        <v>2</v>
      </c>
      <c r="D35" s="4" t="s">
        <v>21</v>
      </c>
      <c r="E35" s="2" t="s">
        <v>78</v>
      </c>
      <c r="F35" s="2">
        <v>4</v>
      </c>
      <c r="G35" s="2">
        <v>5</v>
      </c>
      <c r="H35" s="2">
        <v>5</v>
      </c>
    </row>
    <row r="36" spans="1:9" x14ac:dyDescent="0.25">
      <c r="A36" s="3" t="s">
        <v>14</v>
      </c>
      <c r="B36" s="4">
        <v>3</v>
      </c>
      <c r="C36" s="4"/>
      <c r="D36" s="4" t="s">
        <v>22</v>
      </c>
      <c r="E36" s="2" t="s">
        <v>79</v>
      </c>
    </row>
    <row r="37" spans="1:9" x14ac:dyDescent="0.25">
      <c r="A37" s="3" t="s">
        <v>15</v>
      </c>
      <c r="B37" s="4">
        <v>5.5</v>
      </c>
      <c r="C37" s="4"/>
      <c r="D37" s="4" t="s">
        <v>8</v>
      </c>
    </row>
    <row r="38" spans="1:9" x14ac:dyDescent="0.25">
      <c r="A38" s="3" t="s">
        <v>16</v>
      </c>
      <c r="B38" s="4">
        <v>3.5</v>
      </c>
      <c r="C38" s="4"/>
      <c r="D38" s="4" t="s">
        <v>11</v>
      </c>
    </row>
    <row r="39" spans="1:9" x14ac:dyDescent="0.25">
      <c r="A39" s="3" t="s">
        <v>17</v>
      </c>
      <c r="B39" s="4">
        <v>2.5</v>
      </c>
      <c r="C39" s="4"/>
      <c r="D39" s="4" t="s">
        <v>6</v>
      </c>
    </row>
    <row r="40" spans="1:9" x14ac:dyDescent="0.25">
      <c r="A40" s="5" t="s">
        <v>31</v>
      </c>
      <c r="B40" s="6">
        <v>6</v>
      </c>
      <c r="C40" s="6">
        <f>SUM(C41:C43)</f>
        <v>0</v>
      </c>
      <c r="D40" s="6"/>
    </row>
    <row r="41" spans="1:9" x14ac:dyDescent="0.25">
      <c r="A41" s="3" t="s">
        <v>18</v>
      </c>
      <c r="B41" s="4"/>
      <c r="C41" s="4"/>
      <c r="D41" s="4" t="s">
        <v>23</v>
      </c>
    </row>
    <row r="42" spans="1:9" x14ac:dyDescent="0.25">
      <c r="A42" s="3" t="s">
        <v>19</v>
      </c>
      <c r="B42" s="4"/>
      <c r="C42" s="4"/>
      <c r="D42" s="4" t="s">
        <v>24</v>
      </c>
    </row>
    <row r="43" spans="1:9" x14ac:dyDescent="0.25">
      <c r="A43" s="3" t="s">
        <v>20</v>
      </c>
      <c r="B43" s="4"/>
      <c r="C43" s="4"/>
      <c r="D43" s="4" t="s">
        <v>6</v>
      </c>
    </row>
    <row r="44" spans="1:9" x14ac:dyDescent="0.25">
      <c r="A44" s="13" t="s">
        <v>32</v>
      </c>
      <c r="B44" s="14">
        <v>5</v>
      </c>
      <c r="C44" s="14"/>
      <c r="D44" s="14"/>
    </row>
    <row r="45" spans="1:9" x14ac:dyDescent="0.25">
      <c r="A45" s="9"/>
      <c r="B45" s="10"/>
      <c r="C45" s="10"/>
      <c r="D45" s="21"/>
    </row>
    <row r="46" spans="1:9" x14ac:dyDescent="0.25">
      <c r="A46" s="15" t="s">
        <v>1</v>
      </c>
      <c r="B46" s="16">
        <f>SUM(B47)</f>
        <v>0.5</v>
      </c>
      <c r="C46" s="16">
        <f>SUM(C47:C49)</f>
        <v>1</v>
      </c>
      <c r="D46" s="16"/>
    </row>
    <row r="47" spans="1:9" x14ac:dyDescent="0.25">
      <c r="A47" s="11" t="s">
        <v>2</v>
      </c>
      <c r="B47" s="12">
        <v>0.5</v>
      </c>
      <c r="C47" s="12">
        <v>0.5</v>
      </c>
      <c r="D47" s="12"/>
      <c r="E47" s="2" t="s">
        <v>62</v>
      </c>
      <c r="F47" s="2">
        <v>2</v>
      </c>
      <c r="G47" s="2">
        <v>4</v>
      </c>
      <c r="H47" s="2">
        <v>4</v>
      </c>
      <c r="I47" t="s">
        <v>64</v>
      </c>
    </row>
    <row r="48" spans="1:9" x14ac:dyDescent="0.25">
      <c r="A48" s="25" t="s">
        <v>52</v>
      </c>
      <c r="B48" s="26" t="s">
        <v>53</v>
      </c>
      <c r="C48" s="12">
        <v>0.5</v>
      </c>
      <c r="D48" s="12"/>
      <c r="E48" s="2">
        <v>4.5</v>
      </c>
      <c r="F48" s="2">
        <v>2</v>
      </c>
      <c r="G48" s="2">
        <v>3</v>
      </c>
      <c r="H48" s="2">
        <v>2</v>
      </c>
    </row>
    <row r="49" spans="1:9" x14ac:dyDescent="0.25">
      <c r="A49" s="25" t="s">
        <v>54</v>
      </c>
      <c r="B49" s="26" t="s">
        <v>53</v>
      </c>
      <c r="C49" s="12">
        <v>0</v>
      </c>
      <c r="D49" s="12"/>
      <c r="E49" s="2">
        <v>5.5</v>
      </c>
      <c r="F49" s="2">
        <v>3</v>
      </c>
      <c r="G49" s="2" t="s">
        <v>63</v>
      </c>
      <c r="H49" s="2" t="s">
        <v>63</v>
      </c>
      <c r="I49" t="s">
        <v>55</v>
      </c>
    </row>
    <row r="55" spans="1:9" x14ac:dyDescent="0.25">
      <c r="C55" s="1"/>
      <c r="D55" s="1"/>
    </row>
    <row r="56" spans="1:9" x14ac:dyDescent="0.25">
      <c r="C56" s="1"/>
      <c r="D56" s="1"/>
    </row>
    <row r="57" spans="1:9" x14ac:dyDescent="0.25">
      <c r="C57" s="1"/>
      <c r="D57" s="1"/>
    </row>
    <row r="64" spans="1:9" x14ac:dyDescent="0.25">
      <c r="C64" s="1"/>
      <c r="D64" s="1"/>
    </row>
  </sheetData>
  <mergeCells count="1">
    <mergeCell ref="E10:I18"/>
  </mergeCells>
  <conditionalFormatting sqref="D1:D1048576">
    <cfRule type="cellIs" dxfId="12" priority="1" operator="equal">
      <formula>"yoni and david"</formula>
    </cfRule>
    <cfRule type="cellIs" dxfId="11" priority="2" operator="equal">
      <formula>"yoni"</formula>
    </cfRule>
    <cfRule type="cellIs" dxfId="10" priority="3" operator="equal">
      <formula>"hadar"</formula>
    </cfRule>
    <cfRule type="cellIs" dxfId="9" priority="4" operator="equal">
      <formula>"david"</formula>
    </cfRule>
    <cfRule type="cellIs" dxfId="8" priority="5" operator="equal">
      <formula>"itay"</formula>
    </cfRule>
    <cfRule type="cellIs" dxfId="7" priority="6" operator="equal">
      <formula>"yaniv"</formula>
    </cfRule>
  </conditionalFormatting>
  <conditionalFormatting sqref="D41">
    <cfRule type="cellIs" dxfId="6" priority="20" operator="equal">
      <formula>"Hadar and Yaniv"</formula>
    </cfRule>
  </conditionalFormatting>
  <conditionalFormatting sqref="E1:I2">
    <cfRule type="cellIs" dxfId="5" priority="19" operator="equal">
      <formula>"yoni and david"</formula>
    </cfRule>
    <cfRule type="cellIs" dxfId="4" priority="21" operator="equal">
      <formula>"yoni"</formula>
    </cfRule>
    <cfRule type="cellIs" dxfId="3" priority="22" operator="equal">
      <formula>"hadar"</formula>
    </cfRule>
    <cfRule type="cellIs" dxfId="2" priority="23" operator="equal">
      <formula>"david"</formula>
    </cfRule>
    <cfRule type="cellIs" dxfId="1" priority="24" operator="equal">
      <formula>"itay"</formula>
    </cfRule>
    <cfRule type="cellIs" dxfId="0" priority="25" operator="equal">
      <formula>"yaniv"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Chernin</dc:creator>
  <cp:lastModifiedBy>Guy Levavi</cp:lastModifiedBy>
  <dcterms:created xsi:type="dcterms:W3CDTF">2024-04-16T13:32:02Z</dcterms:created>
  <dcterms:modified xsi:type="dcterms:W3CDTF">2025-06-17T16:08:32Z</dcterms:modified>
</cp:coreProperties>
</file>